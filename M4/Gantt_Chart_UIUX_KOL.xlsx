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4"/>
  </sheets>
  <definedNames/>
  <calcPr/>
  <extLst>
    <ext uri="GoogleSheetsCustomDataVersion2">
      <go:sheetsCustomData xmlns:go="http://customooxmlschemas.google.com/" r:id="rId5" roundtripDataChecksum="5H0vikUYyp8GwVmpnX8F0YojKtSGyQNT4aeRCBB7ufA="/>
    </ext>
  </extLst>
</workbook>
</file>

<file path=xl/sharedStrings.xml><?xml version="1.0" encoding="utf-8"?>
<sst xmlns="http://schemas.openxmlformats.org/spreadsheetml/2006/main" count="135" uniqueCount="111">
  <si>
    <t>ID</t>
  </si>
  <si>
    <t>Task</t>
  </si>
  <si>
    <t>Role</t>
  </si>
  <si>
    <t>Dependency</t>
  </si>
  <si>
    <t>Tanggal Mulai</t>
  </si>
  <si>
    <t>Tanggal Selesai</t>
  </si>
  <si>
    <t>Durasi</t>
  </si>
  <si>
    <t>M1 (05/10)</t>
  </si>
  <si>
    <t>M2 (12/10)</t>
  </si>
  <si>
    <t>M3 (19/10)</t>
  </si>
  <si>
    <t>M4 (26/10)</t>
  </si>
  <si>
    <t>M5 (02/11)</t>
  </si>
  <si>
    <t>M6 (09/11)</t>
  </si>
  <si>
    <t>M7 (16/11)</t>
  </si>
  <si>
    <t>M8 (23/11)</t>
  </si>
  <si>
    <t>M9 (30/11)</t>
  </si>
  <si>
    <t>M10 (07/12)</t>
  </si>
  <si>
    <t>M11 (14/12)</t>
  </si>
  <si>
    <t>M12 (21/12)</t>
  </si>
  <si>
    <t>M13 (28/12)</t>
  </si>
  <si>
    <t>M14 (04/01)</t>
  </si>
  <si>
    <t>M15 (11/01)</t>
  </si>
  <si>
    <t>M16 (18/01)</t>
  </si>
  <si>
    <t>Hasil Akhir / Milestone Mikro</t>
  </si>
  <si>
    <t>1</t>
  </si>
  <si>
    <t>INISIASI PROYEK</t>
  </si>
  <si>
    <t>Proyek Manajer</t>
  </si>
  <si>
    <t>Lingkup dan Tujuan Proyek Disepakati (RD)</t>
  </si>
  <si>
    <t>1.1</t>
  </si>
  <si>
    <t>Identifikasi Permasalahan Pengelolaan Talent di PT. Siapamau</t>
  </si>
  <si>
    <t>Sistem Analis &amp; Technical Writer</t>
  </si>
  <si>
    <t>Daftar Permasalahan dan Tujuan Proyek (RD)</t>
  </si>
  <si>
    <t>1.2</t>
  </si>
  <si>
    <t>Penentuan Tujuan dan Ruang Lingkup Proyek</t>
  </si>
  <si>
    <t>Dokumen Ruang Lingkup Proyek (RD)</t>
  </si>
  <si>
    <t>1.3</t>
  </si>
  <si>
    <t>Pembentukan Tim Proyek dan Pembagian Peran</t>
  </si>
  <si>
    <t>Proyek Manajer &amp; Technical Writer</t>
  </si>
  <si>
    <t>Struktur Tim dan Pembagian Peran (RD)</t>
  </si>
  <si>
    <t>1.4</t>
  </si>
  <si>
    <t>Persetujuan Proyek dengan Pihak PT. Siapamau</t>
  </si>
  <si>
    <t>Notulen Persetujuan Proyek(RD)</t>
  </si>
  <si>
    <t>2</t>
  </si>
  <si>
    <t>ANALISIS KEBUTUHAN</t>
  </si>
  <si>
    <t>Sistem Analis</t>
  </si>
  <si>
    <t>Dokumen Kebutuhan Pengguna Final (RD)</t>
  </si>
  <si>
    <t>2.1</t>
  </si>
  <si>
    <t>Identifikasi Pengguna (KOL, Admin/Tim Internal, Brand)</t>
  </si>
  <si>
    <t>Daftar Profil Pengguna (RD &amp; SRS)</t>
  </si>
  <si>
    <t>2.2</t>
  </si>
  <si>
    <t>Pengumpulan Data melalui Kuesioner Google Forms</t>
  </si>
  <si>
    <t>Data Hasil Kuesioner (RD)</t>
  </si>
  <si>
    <t>2.3</t>
  </si>
  <si>
    <t>Observasi Alur Kerja Founder dan Admin KOL</t>
  </si>
  <si>
    <t>Catatan Observasi Alur Kerja (RD)</t>
  </si>
  <si>
    <t>2.4</t>
  </si>
  <si>
    <t>Analisis Kebutuhan Fungsional</t>
  </si>
  <si>
    <t>Daftar Kebutuhan Fungsional per Peran(SRS)</t>
  </si>
  <si>
    <t>2.5</t>
  </si>
  <si>
    <t>Analisis Kebutuhan Non-Fungsional (Software dan Hardware)</t>
  </si>
  <si>
    <t>Daftar Kebutuhan Non-Fungsional (SRS)</t>
  </si>
  <si>
    <t>3</t>
  </si>
  <si>
    <t>PERANCANGAN SISTEM</t>
  </si>
  <si>
    <t>Desainer UI/UX</t>
  </si>
  <si>
    <t>Rancangan Sistem Selesai (RD)</t>
  </si>
  <si>
    <t>3.1</t>
  </si>
  <si>
    <t>Pembuatan User Persona dan User Journey Map</t>
  </si>
  <si>
    <t>User Persona dan Journey Map (SRS)</t>
  </si>
  <si>
    <t>3.2</t>
  </si>
  <si>
    <t>Perancangan Sitemap dan Struktur Navigasi</t>
  </si>
  <si>
    <t>Sitemap dan Struktur Navigasi(SRS)</t>
  </si>
  <si>
    <t>3.3</t>
  </si>
  <si>
    <t>Perancangan Use Case Diagram, Flowchart, dan User Flow</t>
  </si>
  <si>
    <t>Use Case, Flowchart, dan User Flow(SRS)</t>
  </si>
  <si>
    <t>3.4</t>
  </si>
  <si>
    <t>Perancangan Wireframe Low-Fidelity</t>
  </si>
  <si>
    <t>Wireframe Low-Fidelity Seluruh Halaman (SRS)</t>
  </si>
  <si>
    <t>3.5</t>
  </si>
  <si>
    <t>Penentuan Palet Warna dan Font</t>
  </si>
  <si>
    <t>Palet Warna dan Font Ditetapkan (SRS)</t>
  </si>
  <si>
    <t>3.6</t>
  </si>
  <si>
    <t>Pembuatan Desain</t>
  </si>
  <si>
    <t>Hasil Desain (Figma)</t>
  </si>
  <si>
    <t>PEMBUATAN SISTEM</t>
  </si>
  <si>
    <t>Programmer</t>
  </si>
  <si>
    <t xml:space="preserve">Website </t>
  </si>
  <si>
    <t>Pembuatan Database</t>
  </si>
  <si>
    <t>Dokumentasi Implementasi</t>
  </si>
  <si>
    <t>Deployment Sistem (Hosting)</t>
  </si>
  <si>
    <t>Kode Modul</t>
  </si>
  <si>
    <t>PENGUJIAN SISTEM</t>
  </si>
  <si>
    <t>Tester</t>
  </si>
  <si>
    <t>Skenario Pengujian (SRS)</t>
  </si>
  <si>
    <t>Penyusunan Skenario Uji di Maze</t>
  </si>
  <si>
    <t>Skenario Uji Siap di Maze (RD)</t>
  </si>
  <si>
    <t>Usability Testing oleh KOL, Admin, dan Brand</t>
  </si>
  <si>
    <t>Hasil Usability Testing Maze (RD)</t>
  </si>
  <si>
    <t>Pengisian Kuesioner System Usability Scale (SUS)</t>
  </si>
  <si>
    <t>Skor SUS Responden (RD)</t>
  </si>
  <si>
    <t>Evaluasi UI dan UX</t>
  </si>
  <si>
    <t>Hasil Evaluasi UI dan UX (RD)</t>
  </si>
  <si>
    <t>Perbaikan Desain berdasarkan Masukan Pengguna</t>
  </si>
  <si>
    <t>Prototipe Final Hasil Perbaikan (RD)</t>
  </si>
  <si>
    <t>Penerapan Sistem</t>
  </si>
  <si>
    <t>UAS – Penanda Kalender Akademik (RD)</t>
  </si>
  <si>
    <t>Serah Terima Prototipe dan Aset Desain ke PT. Siapamau</t>
  </si>
  <si>
    <t>Prototipe dan Aset Desain Diserahkan (RD)</t>
  </si>
  <si>
    <t>Dokumentasi Proyek</t>
  </si>
  <si>
    <t>Dokumentasi Proyek Final (RD)</t>
  </si>
  <si>
    <t>Evaluasi Proyek dan Rekomendasi Pengembangan Lanjutan</t>
  </si>
  <si>
    <t>Laporan Evaluasi dan Rekomendasi (RD)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</si>
</sst>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2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B2A1C7"/>
        <bgColor rgb="FFB2A1C7"/>
      </patternFill>
    </fill>
    <fill>
      <patternFill patternType="solid">
        <fgColor rgb="FFD99594"/>
        <bgColor rgb="FFD99594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BD4B4"/>
        <bgColor rgb="FFFBD4B4"/>
      </patternFill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ill="1" applyFont="1">
      <alignment horizontal="center" shrinkToFit="0" vertical="bottom" wrapText="1"/>
    </xf>
    <xf borderId="1" fillId="2" fontId="2" numFmtId="0" xfId="0" applyAlignment="1" applyBorder="1" applyFill="1" applyFont="1">
      <alignment horizontal="center" shrinkToFit="0" vertical="center" wrapText="0"/>
    </xf>
    <xf borderId="1" fillId="2" fontId="3" numFmtId="0" xfId="0" applyAlignment="1" applyBorder="1" applyFill="1" applyFont="1">
      <alignment horizontal="center" shrinkToFit="0" vertical="center" wrapText="0"/>
    </xf>
    <xf borderId="1" fillId="3" fontId="1" numFmtId="0" xfId="0" applyAlignment="1" applyBorder="1" applyFill="1" applyFont="1">
      <alignment horizontal="center" shrinkToFit="0" vertical="bottom" wrapText="0"/>
    </xf>
    <xf borderId="1" fillId="3" fontId="1" numFmtId="0" xfId="0" applyAlignment="1" applyBorder="1" applyFill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shrinkToFit="0" vertical="bottom" wrapText="0"/>
    </xf>
    <xf borderId="1" fillId="0" fontId="1" numFmtId="164" xfId="0" applyAlignment="1" applyBorder="1" applyFont="1" applyNumberFormat="1">
      <alignment horizontal="center" shrinkToFit="0" vertical="bottom" wrapText="1"/>
    </xf>
    <xf borderId="1" fillId="4" fontId="1" numFmtId="0" xfId="0" applyAlignment="1" applyBorder="1" applyFill="1" applyFont="1">
      <alignment horizontal="center" shrinkToFit="0" vertical="bottom" wrapText="0"/>
    </xf>
    <xf borderId="1" fillId="4" fontId="1" numFmtId="0" xfId="0" applyAlignment="1" applyBorder="1" applyFill="1" applyFont="1">
      <alignment shrinkToFit="0" vertical="bottom" wrapText="0"/>
    </xf>
    <xf borderId="1" fillId="5" fontId="1" numFmtId="0" xfId="0" applyAlignment="1" applyBorder="1" applyFill="1" applyFont="1">
      <alignment horizontal="center" shrinkToFit="0" vertical="bottom" wrapText="0"/>
    </xf>
    <xf borderId="1" fillId="5" fontId="1" numFmtId="0" xfId="0" applyAlignment="1" applyBorder="1" applyFill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1"/>
    </xf>
    <xf borderId="1" fillId="4" fontId="1" numFmtId="0" xfId="0" applyAlignment="1" applyBorder="1" applyFill="1" applyFont="1">
      <alignment horizontal="center" readingOrder="0" shrinkToFit="0" vertical="bottom" wrapText="0"/>
    </xf>
    <xf borderId="1" fillId="4" fontId="1" numFmtId="0" xfId="0" applyAlignment="1" applyBorder="1" applyFill="1" applyFont="1">
      <alignment readingOrder="0" shrinkToFit="0" vertical="bottom" wrapText="0"/>
    </xf>
    <xf borderId="1" fillId="6" fontId="1" numFmtId="0" xfId="0" applyAlignment="1" applyBorder="1" applyFill="1" applyFont="1">
      <alignment readingOrder="0" shrinkToFit="0" vertical="bottom" wrapText="1"/>
    </xf>
    <xf borderId="1" fillId="6" fontId="1" numFmtId="0" xfId="0" applyAlignment="1" applyBorder="1" applyFill="1" applyFont="1">
      <alignment horizontal="center" readingOrder="0" shrinkToFit="0" vertical="bottom" wrapText="0"/>
    </xf>
    <xf borderId="1" fillId="6" fontId="1" numFmtId="164" xfId="0" applyAlignment="1" applyBorder="1" applyFill="1" applyFont="1" applyNumberFormat="1">
      <alignment horizontal="center" shrinkToFit="0" vertical="bottom" wrapText="1"/>
    </xf>
    <xf borderId="1" fillId="6" fontId="1" numFmtId="0" xfId="0" applyAlignment="1" applyBorder="1" applyFill="1" applyFont="1">
      <alignment horizontal="center" shrinkToFit="0" vertical="bottom" wrapText="0"/>
    </xf>
    <xf borderId="1" fillId="6" fontId="1" numFmtId="0" xfId="0" applyAlignment="1" applyBorder="1" applyFill="1" applyFont="1">
      <alignment shrinkToFit="0" vertical="bottom" wrapText="0"/>
    </xf>
    <xf borderId="0" fillId="6" fontId="1" numFmtId="0" xfId="0" applyAlignment="1" applyFill="1" applyFont="1">
      <alignment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7" fontId="1" numFmtId="0" xfId="0" applyAlignment="1" applyBorder="1" applyFill="1" applyFont="1">
      <alignment horizontal="center" readingOrder="0" shrinkToFit="0" vertical="bottom" wrapText="0"/>
    </xf>
    <xf borderId="1" fillId="7" fontId="1" numFmtId="0" xfId="0" applyAlignment="1" applyBorder="1" applyFill="1" applyFont="1">
      <alignment shrinkToFit="0" vertical="bottom" wrapText="0"/>
    </xf>
    <xf borderId="1" fillId="8" fontId="1" numFmtId="0" xfId="0" applyAlignment="1" applyBorder="1" applyFill="1" applyFont="1">
      <alignment horizontal="center" readingOrder="0" shrinkToFit="0" vertical="bottom" wrapText="0"/>
    </xf>
    <xf borderId="1" fillId="8" fontId="1" numFmtId="0" xfId="0" applyAlignment="1" applyBorder="1" applyFill="1" applyFont="1">
      <alignment readingOrder="0" shrinkToFit="0" vertical="bottom" wrapText="0"/>
    </xf>
    <xf borderId="1" fillId="8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89"/>
    <col customWidth="1" min="2" max="2" width="55.22"/>
    <col customWidth="1" min="3" max="3" width="30.22"/>
    <col customWidth="1" min="4" max="4" width="12.89"/>
    <col customWidth="1" min="5" max="6" width="15.89"/>
    <col customWidth="1" min="7" max="7" width="9.22"/>
    <col customWidth="1" min="8" max="8" width="12.33"/>
    <col customWidth="1" min="9" max="9" width="12.11"/>
    <col customWidth="1" min="10" max="10" width="10.89"/>
    <col customWidth="1" min="11" max="11" width="13.67"/>
    <col customWidth="1" min="12" max="12" width="14.22"/>
    <col customWidth="1" min="13" max="13" width="12.11"/>
    <col customWidth="1" min="14" max="14" width="11.11"/>
    <col customWidth="1" min="15" max="15" width="10.11"/>
    <col customWidth="1" min="16" max="16" width="10.67"/>
    <col customWidth="1" min="17" max="17" width="9.33"/>
    <col customWidth="1" min="18" max="23" width="10.11"/>
    <col customWidth="1" min="24" max="24" width="55.44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/>
      <c r="Z1" s="2"/>
    </row>
    <row r="2" ht="15.75" customHeight="1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5" t="s">
        <v>5</v>
      </c>
      <c r="G2" s="3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4" t="s">
        <v>23</v>
      </c>
      <c r="Y2" s="2"/>
      <c r="Z2" s="2"/>
    </row>
    <row r="3" ht="15.75" customHeight="1">
      <c r="A3" s="7" t="s">
        <v>24</v>
      </c>
      <c r="B3" s="8" t="s">
        <v>25</v>
      </c>
      <c r="C3" s="9" t="s">
        <v>26</v>
      </c>
      <c r="D3" s="10">
        <v>1.0</v>
      </c>
      <c r="E3" s="11">
        <f>MIN(E4:E7)</f>
        <v>46300</v>
      </c>
      <c r="F3" s="11">
        <f>MAX(F4:F7)</f>
        <v>46309</v>
      </c>
      <c r="G3" s="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9" t="s">
        <v>27</v>
      </c>
      <c r="Y3" s="2"/>
      <c r="Z3" s="2"/>
    </row>
    <row r="4" ht="15.75" customHeight="1">
      <c r="A4" s="10" t="s">
        <v>28</v>
      </c>
      <c r="B4" s="1" t="s">
        <v>29</v>
      </c>
      <c r="C4" s="9" t="s">
        <v>30</v>
      </c>
      <c r="D4" s="10">
        <v>1.0</v>
      </c>
      <c r="E4" s="11">
        <v>46300.0</v>
      </c>
      <c r="F4" s="11">
        <v>46302.0</v>
      </c>
      <c r="G4" s="10">
        <f t="shared" ref="G4:G7" si="1">F4-E4+1</f>
        <v>3</v>
      </c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9" t="s">
        <v>31</v>
      </c>
      <c r="Y4" s="2"/>
      <c r="Z4" s="2"/>
    </row>
    <row r="5" ht="15.75" customHeight="1">
      <c r="A5" s="10" t="s">
        <v>32</v>
      </c>
      <c r="B5" s="1" t="s">
        <v>33</v>
      </c>
      <c r="C5" s="9" t="s">
        <v>30</v>
      </c>
      <c r="D5" s="10">
        <v>1.0</v>
      </c>
      <c r="E5" s="11">
        <v>46301.0</v>
      </c>
      <c r="F5" s="11">
        <v>46303.0</v>
      </c>
      <c r="G5" s="10">
        <f t="shared" si="1"/>
        <v>3</v>
      </c>
      <c r="H5" s="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9" t="s">
        <v>34</v>
      </c>
      <c r="Y5" s="2"/>
      <c r="Z5" s="2"/>
    </row>
    <row r="6" ht="15.75" customHeight="1">
      <c r="A6" s="10" t="s">
        <v>35</v>
      </c>
      <c r="B6" s="1" t="s">
        <v>36</v>
      </c>
      <c r="C6" s="9" t="s">
        <v>37</v>
      </c>
      <c r="D6" s="10">
        <v>1.0</v>
      </c>
      <c r="E6" s="11">
        <v>46303.0</v>
      </c>
      <c r="F6" s="11">
        <v>46304.0</v>
      </c>
      <c r="G6" s="10">
        <f t="shared" si="1"/>
        <v>2</v>
      </c>
      <c r="H6" s="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9" t="s">
        <v>38</v>
      </c>
      <c r="Y6" s="2"/>
      <c r="Z6" s="2"/>
    </row>
    <row r="7" ht="15.75" customHeight="1">
      <c r="A7" s="10" t="s">
        <v>39</v>
      </c>
      <c r="B7" s="1" t="s">
        <v>40</v>
      </c>
      <c r="C7" s="9" t="s">
        <v>26</v>
      </c>
      <c r="D7" s="10">
        <v>1.0</v>
      </c>
      <c r="E7" s="11">
        <v>46307.0</v>
      </c>
      <c r="F7" s="11">
        <v>46309.0</v>
      </c>
      <c r="G7" s="10">
        <f t="shared" si="1"/>
        <v>3</v>
      </c>
      <c r="H7" s="1"/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9" t="s">
        <v>41</v>
      </c>
      <c r="Y7" s="2"/>
      <c r="Z7" s="2"/>
    </row>
    <row r="8" ht="15.75" customHeight="1">
      <c r="A8" s="12" t="s">
        <v>42</v>
      </c>
      <c r="B8" s="13" t="s">
        <v>43</v>
      </c>
      <c r="C8" s="9" t="s">
        <v>44</v>
      </c>
      <c r="D8" s="10">
        <v>2.0</v>
      </c>
      <c r="E8" s="11">
        <f>MIN(E9:E13)</f>
        <v>46310</v>
      </c>
      <c r="F8" s="11">
        <f>MAX(F9:F13)</f>
        <v>46325</v>
      </c>
      <c r="G8" s="1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9" t="s">
        <v>45</v>
      </c>
      <c r="Y8" s="2"/>
      <c r="Z8" s="2"/>
    </row>
    <row r="9" ht="15.75" customHeight="1">
      <c r="A9" s="10" t="s">
        <v>46</v>
      </c>
      <c r="B9" s="1" t="s">
        <v>47</v>
      </c>
      <c r="C9" s="9" t="s">
        <v>44</v>
      </c>
      <c r="D9" s="10">
        <v>2.0</v>
      </c>
      <c r="E9" s="11">
        <v>46310.0</v>
      </c>
      <c r="F9" s="11">
        <v>46311.0</v>
      </c>
      <c r="G9" s="10">
        <f t="shared" ref="G9:G13" si="2">F9-E9+1</f>
        <v>2</v>
      </c>
      <c r="H9" s="1"/>
      <c r="I9" s="1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9" t="s">
        <v>48</v>
      </c>
      <c r="Y9" s="2"/>
      <c r="Z9" s="2"/>
    </row>
    <row r="10" ht="15.75" customHeight="1">
      <c r="A10" s="10" t="s">
        <v>49</v>
      </c>
      <c r="B10" s="1" t="s">
        <v>50</v>
      </c>
      <c r="C10" s="9" t="s">
        <v>44</v>
      </c>
      <c r="D10" s="10">
        <v>2.0</v>
      </c>
      <c r="E10" s="11">
        <v>46310.0</v>
      </c>
      <c r="F10" s="11">
        <v>46318.0</v>
      </c>
      <c r="G10" s="10">
        <f t="shared" si="2"/>
        <v>9</v>
      </c>
      <c r="H10" s="1"/>
      <c r="I10" s="13"/>
      <c r="J10" s="1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9" t="s">
        <v>51</v>
      </c>
      <c r="Y10" s="2"/>
      <c r="Z10" s="2"/>
    </row>
    <row r="11" ht="15.75" customHeight="1">
      <c r="A11" s="10" t="s">
        <v>52</v>
      </c>
      <c r="B11" s="1" t="s">
        <v>53</v>
      </c>
      <c r="C11" s="9" t="s">
        <v>44</v>
      </c>
      <c r="D11" s="10">
        <v>2.0</v>
      </c>
      <c r="E11" s="11">
        <v>46314.0</v>
      </c>
      <c r="F11" s="11">
        <v>46318.0</v>
      </c>
      <c r="G11" s="10">
        <f t="shared" si="2"/>
        <v>5</v>
      </c>
      <c r="H11" s="1"/>
      <c r="I11" s="1"/>
      <c r="J11" s="1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9" t="s">
        <v>54</v>
      </c>
      <c r="Y11" s="2"/>
      <c r="Z11" s="2"/>
    </row>
    <row r="12" ht="14.25" customHeight="1">
      <c r="A12" s="10" t="s">
        <v>55</v>
      </c>
      <c r="B12" s="1" t="s">
        <v>56</v>
      </c>
      <c r="C12" s="9" t="s">
        <v>44</v>
      </c>
      <c r="D12" s="10">
        <v>2.0</v>
      </c>
      <c r="E12" s="11">
        <v>46321.0</v>
      </c>
      <c r="F12" s="11">
        <v>46323.0</v>
      </c>
      <c r="G12" s="10">
        <f t="shared" si="2"/>
        <v>3</v>
      </c>
      <c r="H12" s="1"/>
      <c r="I12" s="1"/>
      <c r="J12" s="1"/>
      <c r="K12" s="1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9" t="s">
        <v>57</v>
      </c>
      <c r="Y12" s="2"/>
      <c r="Z12" s="2"/>
    </row>
    <row r="13" ht="16.5" customHeight="1">
      <c r="A13" s="10" t="s">
        <v>58</v>
      </c>
      <c r="B13" s="1" t="s">
        <v>59</v>
      </c>
      <c r="C13" s="9" t="s">
        <v>44</v>
      </c>
      <c r="D13" s="10">
        <v>2.0</v>
      </c>
      <c r="E13" s="11">
        <v>46322.0</v>
      </c>
      <c r="F13" s="11">
        <v>46325.0</v>
      </c>
      <c r="G13" s="10">
        <f t="shared" si="2"/>
        <v>4</v>
      </c>
      <c r="H13" s="1"/>
      <c r="I13" s="1"/>
      <c r="J13" s="1"/>
      <c r="K13" s="1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9" t="s">
        <v>60</v>
      </c>
      <c r="Y13" s="2"/>
      <c r="Z13" s="2"/>
    </row>
    <row r="14" ht="15.75" customHeight="1">
      <c r="A14" s="14" t="s">
        <v>61</v>
      </c>
      <c r="B14" s="15" t="s">
        <v>62</v>
      </c>
      <c r="C14" s="9" t="s">
        <v>63</v>
      </c>
      <c r="D14" s="10">
        <v>3.0</v>
      </c>
      <c r="E14" s="11">
        <f>MIN(E15:E23)</f>
        <v>46328</v>
      </c>
      <c r="F14" s="11">
        <f>MAX(F15:F23)</f>
        <v>46365</v>
      </c>
      <c r="G14" s="1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9" t="s">
        <v>64</v>
      </c>
      <c r="Y14" s="2"/>
      <c r="Z14" s="2"/>
    </row>
    <row r="15" ht="15.75" customHeight="1">
      <c r="A15" s="10" t="s">
        <v>65</v>
      </c>
      <c r="B15" s="1" t="s">
        <v>66</v>
      </c>
      <c r="C15" s="9" t="s">
        <v>63</v>
      </c>
      <c r="D15" s="10">
        <v>3.0</v>
      </c>
      <c r="E15" s="11">
        <v>46328.0</v>
      </c>
      <c r="F15" s="11">
        <v>46332.0</v>
      </c>
      <c r="G15" s="10">
        <f t="shared" ref="G15:G20" si="3">F15-E15+1</f>
        <v>5</v>
      </c>
      <c r="H15" s="1"/>
      <c r="I15" s="1"/>
      <c r="J15" s="1"/>
      <c r="K15" s="1"/>
      <c r="L15" s="1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9" t="s">
        <v>67</v>
      </c>
      <c r="Y15" s="2"/>
      <c r="Z15" s="2"/>
    </row>
    <row r="16" ht="15.75" customHeight="1">
      <c r="A16" s="10" t="s">
        <v>68</v>
      </c>
      <c r="B16" s="1" t="s">
        <v>69</v>
      </c>
      <c r="C16" s="9" t="s">
        <v>63</v>
      </c>
      <c r="D16" s="10">
        <v>3.0</v>
      </c>
      <c r="E16" s="11">
        <v>46330.0</v>
      </c>
      <c r="F16" s="11">
        <v>46336.0</v>
      </c>
      <c r="G16" s="10">
        <f t="shared" si="3"/>
        <v>7</v>
      </c>
      <c r="H16" s="1"/>
      <c r="I16" s="1"/>
      <c r="J16" s="1"/>
      <c r="K16" s="1"/>
      <c r="L16" s="15"/>
      <c r="M16" s="15"/>
      <c r="N16" s="1"/>
      <c r="O16" s="1"/>
      <c r="P16" s="1"/>
      <c r="Q16" s="1"/>
      <c r="R16" s="1"/>
      <c r="S16" s="1"/>
      <c r="T16" s="1"/>
      <c r="U16" s="1"/>
      <c r="V16" s="1"/>
      <c r="W16" s="1"/>
      <c r="X16" s="9" t="s">
        <v>70</v>
      </c>
      <c r="Y16" s="2"/>
      <c r="Z16" s="2"/>
    </row>
    <row r="17" ht="15.75" customHeight="1">
      <c r="A17" s="10" t="s">
        <v>71</v>
      </c>
      <c r="B17" s="1" t="s">
        <v>72</v>
      </c>
      <c r="C17" s="9" t="s">
        <v>63</v>
      </c>
      <c r="D17" s="10">
        <v>3.0</v>
      </c>
      <c r="E17" s="11">
        <v>46335.0</v>
      </c>
      <c r="F17" s="11">
        <v>46339.0</v>
      </c>
      <c r="G17" s="10">
        <f t="shared" si="3"/>
        <v>5</v>
      </c>
      <c r="H17" s="1"/>
      <c r="I17" s="1"/>
      <c r="J17" s="1"/>
      <c r="K17" s="1"/>
      <c r="L17" s="1"/>
      <c r="M17" s="15"/>
      <c r="N17" s="1"/>
      <c r="O17" s="1"/>
      <c r="P17" s="1"/>
      <c r="Q17" s="1"/>
      <c r="R17" s="1"/>
      <c r="S17" s="1"/>
      <c r="T17" s="1"/>
      <c r="U17" s="1"/>
      <c r="V17" s="1"/>
      <c r="W17" s="1"/>
      <c r="X17" s="9" t="s">
        <v>73</v>
      </c>
      <c r="Y17" s="2"/>
      <c r="Z17" s="2"/>
    </row>
    <row r="18" ht="15.75" customHeight="1">
      <c r="A18" s="10" t="s">
        <v>74</v>
      </c>
      <c r="B18" s="1" t="s">
        <v>75</v>
      </c>
      <c r="C18" s="9" t="s">
        <v>63</v>
      </c>
      <c r="D18" s="10">
        <v>3.0</v>
      </c>
      <c r="E18" s="11">
        <v>46338.0</v>
      </c>
      <c r="F18" s="11">
        <v>46344.0</v>
      </c>
      <c r="G18" s="10">
        <f t="shared" si="3"/>
        <v>7</v>
      </c>
      <c r="H18" s="1"/>
      <c r="I18" s="1"/>
      <c r="J18" s="1"/>
      <c r="K18" s="1"/>
      <c r="L18" s="1"/>
      <c r="M18" s="15"/>
      <c r="N18" s="15"/>
      <c r="O18" s="1"/>
      <c r="P18" s="1"/>
      <c r="Q18" s="1"/>
      <c r="R18" s="1"/>
      <c r="S18" s="1"/>
      <c r="T18" s="1"/>
      <c r="U18" s="1"/>
      <c r="V18" s="1"/>
      <c r="W18" s="1"/>
      <c r="X18" s="9" t="s">
        <v>76</v>
      </c>
      <c r="Y18" s="2"/>
      <c r="Z18" s="2"/>
    </row>
    <row r="19" ht="15.75" customHeight="1">
      <c r="A19" s="10" t="s">
        <v>77</v>
      </c>
      <c r="B19" s="1" t="s">
        <v>78</v>
      </c>
      <c r="C19" s="9" t="s">
        <v>63</v>
      </c>
      <c r="D19" s="10">
        <v>3.0</v>
      </c>
      <c r="E19" s="11">
        <v>46343.0</v>
      </c>
      <c r="F19" s="11">
        <v>46346.0</v>
      </c>
      <c r="G19" s="10">
        <f t="shared" si="3"/>
        <v>4</v>
      </c>
      <c r="H19" s="1"/>
      <c r="I19" s="1"/>
      <c r="J19" s="1"/>
      <c r="K19" s="1"/>
      <c r="L19" s="1"/>
      <c r="M19" s="1"/>
      <c r="N19" s="15"/>
      <c r="O19" s="1"/>
      <c r="P19" s="1"/>
      <c r="Q19" s="1"/>
      <c r="R19" s="1"/>
      <c r="S19" s="1"/>
      <c r="T19" s="1"/>
      <c r="U19" s="1"/>
      <c r="V19" s="1"/>
      <c r="W19" s="1"/>
      <c r="X19" s="9" t="s">
        <v>79</v>
      </c>
      <c r="Y19" s="2"/>
      <c r="Z19" s="2"/>
    </row>
    <row r="20" ht="15.75" customHeight="1">
      <c r="A20" s="10" t="s">
        <v>80</v>
      </c>
      <c r="B20" s="16" t="s">
        <v>81</v>
      </c>
      <c r="C20" s="9" t="s">
        <v>63</v>
      </c>
      <c r="D20" s="10">
        <v>3.0</v>
      </c>
      <c r="E20" s="11">
        <f>MIN(E21:E23)</f>
        <v>46349</v>
      </c>
      <c r="F20" s="11">
        <f>MAX(F21:F23)</f>
        <v>46365</v>
      </c>
      <c r="G20" s="10">
        <f t="shared" si="3"/>
        <v>17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7" t="s">
        <v>82</v>
      </c>
      <c r="Y20" s="2"/>
      <c r="Z20" s="2"/>
    </row>
    <row r="21" ht="15.75" customHeight="1">
      <c r="A21" s="18">
        <v>4.0</v>
      </c>
      <c r="B21" s="19" t="s">
        <v>83</v>
      </c>
      <c r="C21" s="20" t="s">
        <v>84</v>
      </c>
      <c r="D21" s="21">
        <v>4.0</v>
      </c>
      <c r="E21" s="22">
        <v>46349.0</v>
      </c>
      <c r="F21" s="22">
        <v>46353.0</v>
      </c>
      <c r="G21" s="23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0" t="s">
        <v>85</v>
      </c>
      <c r="Y21" s="25"/>
      <c r="Z21" s="25"/>
    </row>
    <row r="22" ht="15.75" customHeight="1">
      <c r="A22" s="26">
        <v>4.1</v>
      </c>
      <c r="B22" s="16" t="s">
        <v>86</v>
      </c>
      <c r="C22" s="17" t="s">
        <v>84</v>
      </c>
      <c r="D22" s="26">
        <v>4.0</v>
      </c>
      <c r="E22" s="11">
        <v>46356.0</v>
      </c>
      <c r="F22" s="11">
        <v>46360.0</v>
      </c>
      <c r="G22" s="10">
        <f t="shared" ref="G22:G23" si="4">F22-E22+1</f>
        <v>5</v>
      </c>
      <c r="H22" s="1"/>
      <c r="I22" s="1"/>
      <c r="J22" s="1"/>
      <c r="K22" s="1"/>
      <c r="L22" s="1"/>
      <c r="M22" s="1"/>
      <c r="N22" s="1"/>
      <c r="O22" s="1"/>
      <c r="P22" s="13"/>
      <c r="Q22" s="1"/>
      <c r="R22" s="1"/>
      <c r="S22" s="1"/>
      <c r="T22" s="1"/>
      <c r="U22" s="1"/>
      <c r="V22" s="1"/>
      <c r="W22" s="1"/>
      <c r="X22" s="17" t="s">
        <v>87</v>
      </c>
      <c r="Y22" s="2"/>
      <c r="Z22" s="2"/>
    </row>
    <row r="23" ht="15.75" customHeight="1">
      <c r="A23" s="26">
        <v>4.2</v>
      </c>
      <c r="B23" s="16" t="s">
        <v>88</v>
      </c>
      <c r="C23" s="17" t="s">
        <v>84</v>
      </c>
      <c r="D23" s="26">
        <v>4.0</v>
      </c>
      <c r="E23" s="11">
        <v>46359.0</v>
      </c>
      <c r="F23" s="11">
        <v>46365.0</v>
      </c>
      <c r="G23" s="10">
        <f t="shared" si="4"/>
        <v>7</v>
      </c>
      <c r="H23" s="1"/>
      <c r="I23" s="1"/>
      <c r="J23" s="1"/>
      <c r="K23" s="1"/>
      <c r="L23" s="1"/>
      <c r="M23" s="1"/>
      <c r="N23" s="1"/>
      <c r="O23" s="1"/>
      <c r="P23" s="13"/>
      <c r="Q23" s="13"/>
      <c r="R23" s="1"/>
      <c r="S23" s="1"/>
      <c r="T23" s="1"/>
      <c r="U23" s="1"/>
      <c r="V23" s="1"/>
      <c r="W23" s="1"/>
      <c r="X23" s="17" t="s">
        <v>89</v>
      </c>
      <c r="Y23" s="2"/>
      <c r="Z23" s="2"/>
    </row>
    <row r="24" ht="15.75" customHeight="1">
      <c r="A24" s="27">
        <v>5.0</v>
      </c>
      <c r="B24" s="28" t="s">
        <v>90</v>
      </c>
      <c r="C24" s="9" t="s">
        <v>91</v>
      </c>
      <c r="D24" s="26">
        <v>5.0</v>
      </c>
      <c r="E24" s="11">
        <f>MIN(E25:E29)</f>
        <v>46377</v>
      </c>
      <c r="F24" s="11">
        <f>MAX(F25:F29)</f>
        <v>46395</v>
      </c>
      <c r="G24" s="1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7" t="s">
        <v>92</v>
      </c>
      <c r="Y24" s="2"/>
      <c r="Z24" s="2"/>
    </row>
    <row r="25" ht="15.75" customHeight="1">
      <c r="A25" s="26">
        <v>5.1</v>
      </c>
      <c r="B25" s="1" t="s">
        <v>93</v>
      </c>
      <c r="C25" s="9" t="s">
        <v>44</v>
      </c>
      <c r="D25" s="26">
        <v>5.0</v>
      </c>
      <c r="E25" s="11">
        <v>46377.0</v>
      </c>
      <c r="F25" s="11">
        <v>46379.0</v>
      </c>
      <c r="G25" s="10">
        <f t="shared" ref="G25:G29" si="5">F25-E25+1</f>
        <v>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28"/>
      <c r="T25" s="1"/>
      <c r="U25" s="1"/>
      <c r="V25" s="1"/>
      <c r="W25" s="1"/>
      <c r="X25" s="9" t="s">
        <v>94</v>
      </c>
      <c r="Y25" s="2"/>
      <c r="Z25" s="2"/>
    </row>
    <row r="26" ht="15.75" customHeight="1">
      <c r="A26" s="26">
        <v>5.2</v>
      </c>
      <c r="B26" s="1" t="s">
        <v>95</v>
      </c>
      <c r="C26" s="9" t="s">
        <v>91</v>
      </c>
      <c r="D26" s="26">
        <v>5.0</v>
      </c>
      <c r="E26" s="11">
        <v>46380.0</v>
      </c>
      <c r="F26" s="11">
        <v>46386.0</v>
      </c>
      <c r="G26" s="10">
        <f t="shared" si="5"/>
        <v>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28"/>
      <c r="T26" s="28"/>
      <c r="U26" s="1"/>
      <c r="V26" s="1"/>
      <c r="W26" s="1"/>
      <c r="X26" s="9" t="s">
        <v>96</v>
      </c>
      <c r="Y26" s="2"/>
      <c r="Z26" s="2"/>
    </row>
    <row r="27" ht="15.75" customHeight="1">
      <c r="A27" s="26">
        <v>5.3</v>
      </c>
      <c r="B27" s="1" t="s">
        <v>97</v>
      </c>
      <c r="C27" s="9" t="s">
        <v>91</v>
      </c>
      <c r="D27" s="26">
        <v>5.0</v>
      </c>
      <c r="E27" s="11">
        <v>46384.0</v>
      </c>
      <c r="F27" s="11">
        <v>46387.0</v>
      </c>
      <c r="G27" s="10">
        <f t="shared" si="5"/>
        <v>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28"/>
      <c r="U27" s="1"/>
      <c r="V27" s="1"/>
      <c r="W27" s="1"/>
      <c r="X27" s="9" t="s">
        <v>98</v>
      </c>
      <c r="Y27" s="2"/>
      <c r="Z27" s="2"/>
    </row>
    <row r="28" ht="15.75" customHeight="1">
      <c r="A28" s="26">
        <v>5.4</v>
      </c>
      <c r="B28" s="1" t="s">
        <v>99</v>
      </c>
      <c r="C28" s="9" t="s">
        <v>44</v>
      </c>
      <c r="D28" s="26">
        <v>5.0</v>
      </c>
      <c r="E28" s="11">
        <v>46388.0</v>
      </c>
      <c r="F28" s="11">
        <v>46392.0</v>
      </c>
      <c r="G28" s="10">
        <f t="shared" si="5"/>
        <v>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28"/>
      <c r="U28" s="28"/>
      <c r="V28" s="1"/>
      <c r="W28" s="1"/>
      <c r="X28" s="9" t="s">
        <v>100</v>
      </c>
      <c r="Y28" s="2"/>
      <c r="Z28" s="2"/>
    </row>
    <row r="29" ht="15.75" customHeight="1">
      <c r="A29" s="26">
        <v>5.5</v>
      </c>
      <c r="B29" s="1" t="s">
        <v>101</v>
      </c>
      <c r="C29" s="9" t="s">
        <v>63</v>
      </c>
      <c r="D29" s="26">
        <v>5.0</v>
      </c>
      <c r="E29" s="11">
        <v>46392.0</v>
      </c>
      <c r="F29" s="11">
        <v>46395.0</v>
      </c>
      <c r="G29" s="10">
        <f t="shared" si="5"/>
        <v>4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28"/>
      <c r="V29" s="1"/>
      <c r="W29" s="1"/>
      <c r="X29" s="9" t="s">
        <v>102</v>
      </c>
      <c r="Y29" s="2"/>
      <c r="Z29" s="2"/>
    </row>
    <row r="30" ht="15.75" customHeight="1">
      <c r="A30" s="29">
        <v>6.0</v>
      </c>
      <c r="B30" s="30" t="s">
        <v>103</v>
      </c>
      <c r="C30" s="9" t="s">
        <v>26</v>
      </c>
      <c r="D30" s="26">
        <v>6.0</v>
      </c>
      <c r="E30" s="11">
        <f>MIN(E31:E33)</f>
        <v>46398</v>
      </c>
      <c r="F30" s="11">
        <f>MAX(F31:F33)</f>
        <v>46409</v>
      </c>
      <c r="G30" s="1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9" t="s">
        <v>104</v>
      </c>
      <c r="Y30" s="2"/>
      <c r="Z30" s="2"/>
    </row>
    <row r="31" ht="15.75" customHeight="1">
      <c r="A31" s="26">
        <v>6.1</v>
      </c>
      <c r="B31" s="1" t="s">
        <v>105</v>
      </c>
      <c r="C31" s="9" t="s">
        <v>26</v>
      </c>
      <c r="D31" s="26">
        <v>6.0</v>
      </c>
      <c r="E31" s="11">
        <v>46398.0</v>
      </c>
      <c r="F31" s="11">
        <v>46400.0</v>
      </c>
      <c r="G31" s="10">
        <f t="shared" ref="G31:G33" si="6">F31-E31+1</f>
        <v>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31"/>
      <c r="W31" s="1"/>
      <c r="X31" s="9" t="s">
        <v>106</v>
      </c>
      <c r="Y31" s="2"/>
      <c r="Z31" s="2"/>
    </row>
    <row r="32" ht="15.75" customHeight="1">
      <c r="A32" s="26">
        <v>6.2</v>
      </c>
      <c r="B32" s="1" t="s">
        <v>107</v>
      </c>
      <c r="C32" s="9" t="s">
        <v>26</v>
      </c>
      <c r="D32" s="26">
        <v>6.0</v>
      </c>
      <c r="E32" s="11">
        <v>46399.0</v>
      </c>
      <c r="F32" s="11">
        <v>46405.0</v>
      </c>
      <c r="G32" s="10">
        <f t="shared" si="6"/>
        <v>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31"/>
      <c r="W32" s="31"/>
      <c r="X32" s="9" t="s">
        <v>108</v>
      </c>
      <c r="Y32" s="2"/>
      <c r="Z32" s="2"/>
    </row>
    <row r="33" ht="15.75" customHeight="1">
      <c r="A33" s="26">
        <v>6.3</v>
      </c>
      <c r="B33" s="1" t="s">
        <v>109</v>
      </c>
      <c r="C33" s="9" t="s">
        <v>26</v>
      </c>
      <c r="D33" s="26">
        <v>6.0</v>
      </c>
      <c r="E33" s="11">
        <v>46405.0</v>
      </c>
      <c r="F33" s="11">
        <v>46409.0</v>
      </c>
      <c r="G33" s="10">
        <f t="shared" si="6"/>
        <v>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31"/>
      <c r="X33" s="9" t="s">
        <v>110</v>
      </c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2025-10-25T17:23:24Z</dcterms:created>
  <dc:creator>habibie zahir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